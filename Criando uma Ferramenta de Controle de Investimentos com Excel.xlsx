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omnicom-my.sharepoint.com/personal/fernando_martins_omc_com/Documents/Área de Trabalho/Particular/Cursos/Dio Santander/Criando uma Ferramenta de Controle de Investimentos com Excel/"/>
    </mc:Choice>
  </mc:AlternateContent>
  <xr:revisionPtr revIDLastSave="109" documentId="8_{2D6BE47C-7EAB-47F4-AD72-6ECFFC8A978E}" xr6:coauthVersionLast="47" xr6:coauthVersionMax="47" xr10:uidLastSave="{135EC314-2D64-4284-9A1F-77FBBCC8716D}"/>
  <bookViews>
    <workbookView xWindow="-110" yWindow="-110" windowWidth="19420" windowHeight="10300" tabRatio="378" xr2:uid="{3D52DAD7-7B36-49D2-A4B8-73ADC9B793F0}"/>
  </bookViews>
  <sheets>
    <sheet name="APP" sheetId="1" r:id="rId1"/>
    <sheet name="Planilha2" sheetId="2" state="hidden" r:id="rId2"/>
  </sheets>
  <definedNames>
    <definedName name="aporte">APP!$D$17</definedName>
    <definedName name="patrimonio">APP!$D$20</definedName>
    <definedName name="qtde_anos">APP!$D$18</definedName>
    <definedName name="rendimento_carteira">APP!$D$13</definedName>
    <definedName name="salario">APP!$D$12</definedName>
    <definedName name="sugestao_investimo">APP!$D$14</definedName>
    <definedName name="taxa_mensal">APP!$D$19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6" i="1" l="1"/>
  <c r="D36" i="1" s="1"/>
  <c r="C37" i="1"/>
  <c r="D37" i="1" s="1"/>
  <c r="C38" i="1"/>
  <c r="D38" i="1" s="1"/>
  <c r="C39" i="1"/>
  <c r="D39" i="1" s="1"/>
  <c r="C40" i="1"/>
  <c r="D40" i="1" s="1"/>
  <c r="C35" i="1"/>
  <c r="D35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" i="2"/>
  <c r="D41" i="1" l="1"/>
  <c r="C32" i="1"/>
  <c r="D14" i="1"/>
  <c r="D20" i="1"/>
  <c r="D21" i="1" s="1"/>
  <c r="C25" i="1"/>
  <c r="D25" i="1" s="1"/>
  <c r="C26" i="1"/>
  <c r="D26" i="1" s="1"/>
  <c r="C27" i="1"/>
  <c r="D27" i="1" s="1"/>
  <c r="C28" i="1"/>
  <c r="D28" i="1" s="1"/>
  <c r="C24" i="1"/>
  <c r="D24" i="1" s="1"/>
</calcChain>
</file>

<file path=xl/sharedStrings.xml><?xml version="1.0" encoding="utf-8"?>
<sst xmlns="http://schemas.openxmlformats.org/spreadsheetml/2006/main" count="65" uniqueCount="31">
  <si>
    <t>Quanto investir por mês?</t>
  </si>
  <si>
    <t>Por quantos anos?</t>
  </si>
  <si>
    <t>Taxa de rendimentos mensal?</t>
  </si>
  <si>
    <t>Patrimônio acumulado?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</si>
  <si>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</si>
  <si>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</si>
  <si>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</si>
  <si>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</si>
  <si>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</si>
  <si>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</si>
  <si>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</si>
  <si>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</si>
  <si>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Rendimento Carteira</t>
  </si>
  <si>
    <t>Salário</t>
  </si>
  <si>
    <t>Sugestão de investimento</t>
  </si>
  <si>
    <t>CONFIGURAÇÕES</t>
  </si>
  <si>
    <t>dividendo</t>
  </si>
  <si>
    <t>Perfil</t>
  </si>
  <si>
    <t>Conservador</t>
  </si>
  <si>
    <t xml:space="preserve">VALOR A SER INVESTIDO POR MÊS </t>
  </si>
  <si>
    <t>TIPO DE FII</t>
  </si>
  <si>
    <t xml:space="preserve">Percentual Sugerido </t>
  </si>
  <si>
    <t>Valores</t>
  </si>
  <si>
    <t>PAPEL</t>
  </si>
  <si>
    <t>TIJOLO</t>
  </si>
  <si>
    <t>HÍBRIDO</t>
  </si>
  <si>
    <t>FOFs</t>
  </si>
  <si>
    <t>DESENVOLVIMENTO</t>
  </si>
  <si>
    <t>HOTELARIAS</t>
  </si>
  <si>
    <t>Moderado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</si>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</sst>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theme="0" tint="-0.14996795556505021"/>
      </right>
      <top style="medium">
        <color indexed="64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medium">
        <color indexed="64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medium">
        <color indexed="64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4" fillId="6" borderId="0" xfId="0" applyFont="1" applyFill="1"/>
    <xf numFmtId="0" fontId="5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7" fillId="7" borderId="2" xfId="0" applyFont="1" applyFill="1" applyBorder="1" applyAlignment="1">
      <alignment vertical="center"/>
    </xf>
    <xf numFmtId="164" fontId="9" fillId="0" borderId="19" xfId="0" applyNumberFormat="1" applyFont="1" applyBorder="1" applyAlignment="1">
      <alignment horizontal="center"/>
    </xf>
    <xf numFmtId="10" fontId="9" fillId="0" borderId="20" xfId="0" applyNumberFormat="1" applyFont="1" applyBorder="1" applyAlignment="1">
      <alignment horizontal="center"/>
    </xf>
    <xf numFmtId="164" fontId="9" fillId="0" borderId="21" xfId="0" applyNumberFormat="1" applyFont="1" applyBorder="1" applyAlignment="1">
      <alignment horizontal="center"/>
    </xf>
    <xf numFmtId="164" fontId="10" fillId="0" borderId="19" xfId="1" applyNumberFormat="1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10" fontId="10" fillId="0" borderId="20" xfId="0" applyNumberFormat="1" applyFont="1" applyBorder="1" applyAlignment="1">
      <alignment horizontal="center"/>
    </xf>
    <xf numFmtId="8" fontId="10" fillId="5" borderId="20" xfId="0" applyNumberFormat="1" applyFont="1" applyFill="1" applyBorder="1" applyAlignment="1">
      <alignment horizontal="center"/>
    </xf>
    <xf numFmtId="8" fontId="10" fillId="5" borderId="21" xfId="0" applyNumberFormat="1" applyFont="1" applyFill="1" applyBorder="1" applyAlignment="1">
      <alignment horizontal="center"/>
    </xf>
    <xf numFmtId="0" fontId="8" fillId="4" borderId="4" xfId="0" applyFont="1" applyFill="1" applyBorder="1" applyAlignment="1">
      <alignment horizontal="left" indent="3"/>
    </xf>
    <xf numFmtId="8" fontId="9" fillId="4" borderId="5" xfId="0" applyNumberFormat="1" applyFont="1" applyFill="1" applyBorder="1" applyAlignment="1">
      <alignment horizontal="center"/>
    </xf>
    <xf numFmtId="8" fontId="9" fillId="4" borderId="6" xfId="0" applyNumberFormat="1" applyFont="1" applyFill="1" applyBorder="1" applyAlignment="1">
      <alignment horizontal="center"/>
    </xf>
    <xf numFmtId="0" fontId="8" fillId="4" borderId="7" xfId="0" applyFont="1" applyFill="1" applyBorder="1" applyAlignment="1">
      <alignment horizontal="left" indent="3"/>
    </xf>
    <xf numFmtId="8" fontId="9" fillId="4" borderId="8" xfId="0" applyNumberFormat="1" applyFont="1" applyFill="1" applyBorder="1" applyAlignment="1">
      <alignment horizontal="center"/>
    </xf>
    <xf numFmtId="8" fontId="9" fillId="4" borderId="9" xfId="0" applyNumberFormat="1" applyFont="1" applyFill="1" applyBorder="1" applyAlignment="1">
      <alignment horizontal="center"/>
    </xf>
    <xf numFmtId="0" fontId="8" fillId="4" borderId="10" xfId="0" applyFont="1" applyFill="1" applyBorder="1" applyAlignment="1">
      <alignment horizontal="left" indent="3"/>
    </xf>
    <xf numFmtId="8" fontId="9" fillId="4" borderId="11" xfId="0" applyNumberFormat="1" applyFont="1" applyFill="1" applyBorder="1" applyAlignment="1">
      <alignment horizontal="center"/>
    </xf>
    <xf numFmtId="8" fontId="9" fillId="4" borderId="12" xfId="0" applyNumberFormat="1" applyFont="1" applyFill="1" applyBorder="1" applyAlignment="1">
      <alignment horizontal="center"/>
    </xf>
    <xf numFmtId="0" fontId="2" fillId="2" borderId="0" xfId="2"/>
    <xf numFmtId="0" fontId="3" fillId="5" borderId="0" xfId="0" applyFont="1" applyFill="1"/>
    <xf numFmtId="164" fontId="3" fillId="5" borderId="0" xfId="0" applyNumberFormat="1" applyFont="1" applyFill="1" applyAlignment="1">
      <alignment horizontal="center"/>
    </xf>
    <xf numFmtId="0" fontId="0" fillId="5" borderId="0" xfId="0" applyFill="1"/>
    <xf numFmtId="0" fontId="3" fillId="8" borderId="0" xfId="0" applyFont="1" applyFill="1" applyAlignment="1">
      <alignment horizontal="center"/>
    </xf>
    <xf numFmtId="0" fontId="0" fillId="8" borderId="0" xfId="0" applyFill="1"/>
    <xf numFmtId="164" fontId="3" fillId="8" borderId="0" xfId="0" applyNumberFormat="1" applyFont="1" applyFill="1" applyAlignment="1">
      <alignment horizontal="center"/>
    </xf>
    <xf numFmtId="9" fontId="0" fillId="0" borderId="0" xfId="0" applyNumberFormat="1"/>
    <xf numFmtId="4" fontId="0" fillId="0" borderId="0" xfId="0" applyNumberFormat="1"/>
    <xf numFmtId="43" fontId="0" fillId="0" borderId="0" xfId="3" applyFont="1"/>
    <xf numFmtId="8" fontId="0" fillId="0" borderId="0" xfId="0" applyNumberFormat="1"/>
    <xf numFmtId="10" fontId="0" fillId="0" borderId="0" xfId="4" applyNumberFormat="1" applyFont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8" fillId="0" borderId="22" xfId="0" applyFont="1" applyBorder="1" applyAlignment="1">
      <alignment horizontal="left" indent="3"/>
    </xf>
    <xf numFmtId="0" fontId="8" fillId="0" borderId="23" xfId="0" applyFont="1" applyBorder="1" applyAlignment="1">
      <alignment horizontal="left" indent="3"/>
    </xf>
    <xf numFmtId="0" fontId="8" fillId="0" borderId="24" xfId="0" applyFont="1" applyBorder="1" applyAlignment="1">
      <alignment horizontal="left" indent="3"/>
    </xf>
    <xf numFmtId="0" fontId="8" fillId="0" borderId="14" xfId="0" applyFont="1" applyBorder="1" applyAlignment="1">
      <alignment horizontal="left" indent="3"/>
    </xf>
    <xf numFmtId="0" fontId="11" fillId="5" borderId="24" xfId="0" applyFont="1" applyFill="1" applyBorder="1" applyAlignment="1">
      <alignment horizontal="left" indent="3"/>
    </xf>
    <xf numFmtId="0" fontId="11" fillId="5" borderId="14" xfId="0" applyFont="1" applyFill="1" applyBorder="1" applyAlignment="1">
      <alignment horizontal="left" indent="3"/>
    </xf>
    <xf numFmtId="0" fontId="11" fillId="5" borderId="25" xfId="0" applyFont="1" applyFill="1" applyBorder="1" applyAlignment="1">
      <alignment horizontal="left" indent="3"/>
    </xf>
    <xf numFmtId="0" fontId="11" fillId="5" borderId="26" xfId="0" applyFont="1" applyFill="1" applyBorder="1" applyAlignment="1">
      <alignment horizontal="left" indent="3"/>
    </xf>
    <xf numFmtId="0" fontId="7" fillId="7" borderId="1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left" indent="3"/>
    </xf>
    <xf numFmtId="0" fontId="8" fillId="5" borderId="15" xfId="0" applyFont="1" applyFill="1" applyBorder="1" applyAlignment="1">
      <alignment horizontal="left" indent="3"/>
    </xf>
    <xf numFmtId="0" fontId="8" fillId="5" borderId="17" xfId="0" applyFont="1" applyFill="1" applyBorder="1" applyAlignment="1">
      <alignment horizontal="left" indent="3"/>
    </xf>
    <xf numFmtId="0" fontId="8" fillId="5" borderId="18" xfId="0" applyFont="1" applyFill="1" applyBorder="1" applyAlignment="1">
      <alignment horizontal="left" indent="3"/>
    </xf>
    <xf numFmtId="0" fontId="5" fillId="3" borderId="1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</cellXfs>
  <cellStyles count="5">
    <cellStyle name="Moeda" xfId="1" builtinId="4"/>
    <cellStyle name="Neutro" xfId="2" builtinId="28"/>
    <cellStyle name="Normal" xfId="0" builtinId="0"/>
    <cellStyle name="Porcentagem" xfId="4" builtinId="5"/>
    <cellStyle name="Vírgula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APP!$C$34</c:f>
              <c:strCache>
                <c:ptCount val="1"/>
                <c:pt idx="0">
                  <c:v>Percentual Sugerido 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10A-410F-BD89-D7F43FA3800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10A-410F-BD89-D7F43FA3800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110A-410F-BD89-D7F43FA3800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110A-410F-BD89-D7F43FA3800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110A-410F-BD89-D7F43FA3800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110A-410F-BD89-D7F43FA38003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110A-410F-BD89-D7F43FA380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APP!$B$35:$B$41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APP!$C$35:$C$41</c:f>
              <c:numCache>
                <c:formatCode>0%</c:formatCode>
                <c:ptCount val="7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CB-4D95-9705-C9BE65CF1C3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169333</xdr:colOff>
      <xdr:row>0</xdr:row>
      <xdr:rowOff>57150</xdr:rowOff>
    </xdr:from>
    <xdr:to>
      <xdr:col>5</xdr:col>
      <xdr:colOff>49389</xdr:colOff>
      <xdr:row>8</xdr:row>
      <xdr:rowOff>20642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C0C6EE4-7F9C-7F8B-7183-731F7BBF8C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248"/>
        <a:stretch>
          <a:fillRect/>
        </a:stretch>
      </xdr:blipFill>
      <xdr:spPr>
        <a:xfrm>
          <a:off x="169333" y="57150"/>
          <a:ext cx="7485945" cy="1431048"/>
        </a:xfrm>
        <a:prstGeom prst="rect">
          <a:avLst/>
        </a:prstGeom>
      </xdr:spPr>
    </xdr:pic>
    <xdr:clientData/>
  </xdr:twoCellAnchor>
  <xdr:twoCellAnchor>
    <xdr:from>
      <xdr:col>1</xdr:col>
      <xdr:colOff>289278</xdr:colOff>
      <xdr:row>42</xdr:row>
      <xdr:rowOff>21166</xdr:rowOff>
    </xdr:from>
    <xdr:to>
      <xdr:col>3</xdr:col>
      <xdr:colOff>500944</xdr:colOff>
      <xdr:row>57</xdr:row>
      <xdr:rowOff>127000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B7502BD-CA9B-3007-2B3F-A8DE240E40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5F6FB-196D-4B60-90A0-DB50EC5C1ED8}">
  <dimension ref="A9:G65"/>
  <sheetViews>
    <sheetView showGridLines="0" tabSelected="1" topLeftCell="A34" zoomScaleNormal="100" workbookViewId="0">
      <selection activeCell="C31" sqref="C31"/>
    </sheetView>
  </sheetViews>
  <sheetFormatPr defaultColWidth="0" defaultRowHeight="14.5" x14ac:dyDescent="0.35"/>
  <cols>
    <col min="1" max="1" width="5.6328125" customWidth="1"/>
    <col min="2" max="3" width="43.26953125" customWidth="1"/>
    <col min="4" max="4" width="13.6328125" bestFit="1" customWidth="1"/>
    <col min="5" max="7" width="3.08984375" customWidth="1"/>
    <col min="8" max="11" width="8.7265625" hidden="1" customWidth="1"/>
    <col min="12" max="16384" width="8.7265625" hidden="1"/>
  </cols>
  <sheetData>
    <row r="9" spans="2:4" ht="8.5" customHeight="1" x14ac:dyDescent="0.35"/>
    <row r="10" spans="2:4" ht="5.5" customHeight="1" thickBot="1" x14ac:dyDescent="0.4"/>
    <row r="11" spans="2:4" ht="23.5" x14ac:dyDescent="0.35">
      <c r="B11" s="47" t="s">
        <v>15</v>
      </c>
      <c r="C11" s="48"/>
      <c r="D11" s="7"/>
    </row>
    <row r="12" spans="2:4" ht="17.5" x14ac:dyDescent="0.45">
      <c r="B12" s="49" t="s">
        <v>13</v>
      </c>
      <c r="C12" s="50"/>
      <c r="D12" s="8">
        <v>5000</v>
      </c>
    </row>
    <row r="13" spans="2:4" ht="17.5" x14ac:dyDescent="0.45">
      <c r="B13" s="49" t="s">
        <v>12</v>
      </c>
      <c r="C13" s="50"/>
      <c r="D13" s="9">
        <v>6.0000000000000001E-3</v>
      </c>
    </row>
    <row r="14" spans="2:4" ht="18" thickBot="1" x14ac:dyDescent="0.5">
      <c r="B14" s="51" t="s">
        <v>14</v>
      </c>
      <c r="C14" s="52"/>
      <c r="D14" s="10">
        <f>salario*30%</f>
        <v>1500</v>
      </c>
    </row>
    <row r="15" spans="2:4" ht="15" thickBot="1" x14ac:dyDescent="0.4"/>
    <row r="16" spans="2:4" ht="28" customHeight="1" x14ac:dyDescent="0.35">
      <c r="B16" s="53" t="s">
        <v>5</v>
      </c>
      <c r="C16" s="54"/>
      <c r="D16" s="2"/>
    </row>
    <row r="17" spans="1:4" ht="17.5" x14ac:dyDescent="0.45">
      <c r="B17" s="39" t="s">
        <v>0</v>
      </c>
      <c r="C17" s="40"/>
      <c r="D17" s="11">
        <v>500</v>
      </c>
    </row>
    <row r="18" spans="1:4" ht="17.5" x14ac:dyDescent="0.45">
      <c r="B18" s="41" t="s">
        <v>1</v>
      </c>
      <c r="C18" s="42"/>
      <c r="D18" s="12">
        <v>3</v>
      </c>
    </row>
    <row r="19" spans="1:4" ht="17.5" x14ac:dyDescent="0.45">
      <c r="B19" s="41" t="s">
        <v>2</v>
      </c>
      <c r="C19" s="42"/>
      <c r="D19" s="13">
        <v>1.0789999999999999E-2</v>
      </c>
    </row>
    <row r="20" spans="1:4" ht="17.5" x14ac:dyDescent="0.45">
      <c r="B20" s="43" t="s">
        <v>3</v>
      </c>
      <c r="C20" s="44"/>
      <c r="D20" s="14">
        <f>FV(taxa_mensal,qtde_anos*12,aporte*-1)</f>
        <v>21854.187011511054</v>
      </c>
    </row>
    <row r="21" spans="1:4" ht="18" thickBot="1" x14ac:dyDescent="0.5">
      <c r="B21" s="45" t="s">
        <v>4</v>
      </c>
      <c r="C21" s="46"/>
      <c r="D21" s="15">
        <f>patrimonio*rendimento_carteira</f>
        <v>131.12512206906632</v>
      </c>
    </row>
    <row r="22" spans="1:4" ht="15" thickBot="1" x14ac:dyDescent="0.4"/>
    <row r="23" spans="1:4" ht="26.5" thickBot="1" x14ac:dyDescent="0.4">
      <c r="B23" s="37" t="s">
        <v>11</v>
      </c>
      <c r="C23" s="38"/>
      <c r="D23" s="3" t="s">
        <v>16</v>
      </c>
    </row>
    <row r="24" spans="1:4" ht="17.5" x14ac:dyDescent="0.45">
      <c r="A24" s="1">
        <v>2</v>
      </c>
      <c r="B24" s="16" t="s">
        <v>6</v>
      </c>
      <c r="C24" s="17">
        <f>FV($D$19,$A24*12,$D$17*(-1))</f>
        <v>13613.813648822608</v>
      </c>
      <c r="D24" s="18">
        <f>C24*rendimento_carteira</f>
        <v>81.682881892935654</v>
      </c>
    </row>
    <row r="25" spans="1:4" ht="17.5" x14ac:dyDescent="0.45">
      <c r="A25" s="1">
        <v>5</v>
      </c>
      <c r="B25" s="19" t="s">
        <v>7</v>
      </c>
      <c r="C25" s="20">
        <f>FV($D$19,$A25*12,$D$17*(-1))</f>
        <v>41888.456999243819</v>
      </c>
      <c r="D25" s="21">
        <f>C25*rendimento_carteira</f>
        <v>251.33074199546292</v>
      </c>
    </row>
    <row r="26" spans="1:4" ht="17.5" x14ac:dyDescent="0.45">
      <c r="A26" s="1">
        <v>10</v>
      </c>
      <c r="B26" s="19" t="s">
        <v>8</v>
      </c>
      <c r="C26" s="20">
        <f>FV($D$19,$A26*12,$D$17*(-1))</f>
        <v>121642.1062650861</v>
      </c>
      <c r="D26" s="21">
        <f>C26*rendimento_carteira</f>
        <v>729.85263759051657</v>
      </c>
    </row>
    <row r="27" spans="1:4" ht="17.5" x14ac:dyDescent="0.45">
      <c r="A27" s="1">
        <v>20</v>
      </c>
      <c r="B27" s="19" t="s">
        <v>9</v>
      </c>
      <c r="C27" s="20">
        <f>FV($D$19,$A27*12,$D$17*(-1))</f>
        <v>562599.20004854025</v>
      </c>
      <c r="D27" s="21">
        <f>C27*rendimento_carteira</f>
        <v>3375.5952002912418</v>
      </c>
    </row>
    <row r="28" spans="1:4" ht="18" thickBot="1" x14ac:dyDescent="0.5">
      <c r="A28" s="1">
        <v>30</v>
      </c>
      <c r="B28" s="22" t="s">
        <v>10</v>
      </c>
      <c r="C28" s="23">
        <f>FV($D$19,$A28*12,$D$17*(-1))</f>
        <v>2161084.8275023573</v>
      </c>
      <c r="D28" s="24">
        <f>C28*rendimento_carteira</f>
        <v>12966.508965014144</v>
      </c>
    </row>
    <row r="31" spans="1:4" x14ac:dyDescent="0.35">
      <c r="B31" s="25" t="s">
        <v>17</v>
      </c>
      <c r="C31" s="25" t="s">
        <v>18</v>
      </c>
      <c r="D31" s="25"/>
    </row>
    <row r="32" spans="1:4" x14ac:dyDescent="0.35">
      <c r="B32" s="26" t="s">
        <v>19</v>
      </c>
      <c r="C32" s="27">
        <f>aporte</f>
        <v>500</v>
      </c>
      <c r="D32" s="28"/>
    </row>
    <row r="34" spans="2:4" x14ac:dyDescent="0.35">
      <c r="B34" s="29" t="s">
        <v>20</v>
      </c>
      <c r="C34" s="29" t="s">
        <v>21</v>
      </c>
      <c r="D34" s="29" t="s">
        <v>22</v>
      </c>
    </row>
    <row r="35" spans="2:4" x14ac:dyDescent="0.35">
      <c r="B35" s="4" t="s">
        <v>23</v>
      </c>
      <c r="C35" s="6">
        <f>VLOOKUP($C$31&amp;"-"&amp;B35,Planilha2!$A$1:$D$18,4,0)</f>
        <v>0.3</v>
      </c>
      <c r="D35" s="5">
        <f>$C$32*C35</f>
        <v>150</v>
      </c>
    </row>
    <row r="36" spans="2:4" x14ac:dyDescent="0.35">
      <c r="B36" s="4" t="s">
        <v>24</v>
      </c>
      <c r="C36" s="6">
        <f>VLOOKUP($C$31&amp;"-"&amp;B36,Planilha2!$A$1:$D$18,4,0)</f>
        <v>0.5</v>
      </c>
      <c r="D36" s="5">
        <f t="shared" ref="D36:D40" si="0">$C$32*C36</f>
        <v>250</v>
      </c>
    </row>
    <row r="37" spans="2:4" x14ac:dyDescent="0.35">
      <c r="B37" s="4" t="s">
        <v>25</v>
      </c>
      <c r="C37" s="6">
        <f>VLOOKUP($C$31&amp;"-"&amp;B37,Planilha2!$A$1:$D$18,4,0)</f>
        <v>0.1</v>
      </c>
      <c r="D37" s="5">
        <f t="shared" si="0"/>
        <v>50</v>
      </c>
    </row>
    <row r="38" spans="2:4" x14ac:dyDescent="0.35">
      <c r="B38" s="4" t="s">
        <v>26</v>
      </c>
      <c r="C38" s="6">
        <f>VLOOKUP($C$31&amp;"-"&amp;B38,Planilha2!$A$1:$D$18,4,0)</f>
        <v>0.1</v>
      </c>
      <c r="D38" s="5">
        <f t="shared" si="0"/>
        <v>50</v>
      </c>
    </row>
    <row r="39" spans="2:4" x14ac:dyDescent="0.35">
      <c r="B39" s="4" t="s">
        <v>27</v>
      </c>
      <c r="C39" s="6">
        <f>VLOOKUP($C$31&amp;"-"&amp;B39,Planilha2!$A$1:$D$18,4,0)</f>
        <v>0</v>
      </c>
      <c r="D39" s="5">
        <f t="shared" si="0"/>
        <v>0</v>
      </c>
    </row>
    <row r="40" spans="2:4" x14ac:dyDescent="0.35">
      <c r="B40" s="4" t="s">
        <v>28</v>
      </c>
      <c r="C40" s="6">
        <f>VLOOKUP($C$31&amp;"-"&amp;B40,Planilha2!$A$1:$D$18,4,0)</f>
        <v>0</v>
      </c>
      <c r="D40" s="5">
        <f t="shared" si="0"/>
        <v>0</v>
      </c>
    </row>
    <row r="41" spans="2:4" x14ac:dyDescent="0.35">
      <c r="B41" s="30"/>
      <c r="C41" s="30"/>
      <c r="D41" s="31">
        <f>SUM(D35:D40)</f>
        <v>500</v>
      </c>
    </row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5" customFormat="1" x14ac:dyDescent="0.35"/>
  </sheetData>
  <mergeCells count="11">
    <mergeCell ref="B11:C11"/>
    <mergeCell ref="B12:C12"/>
    <mergeCell ref="B13:C13"/>
    <mergeCell ref="B14:C14"/>
    <mergeCell ref="B16:C16"/>
    <mergeCell ref="B23:C23"/>
    <mergeCell ref="B17:C17"/>
    <mergeCell ref="B18:C18"/>
    <mergeCell ref="B19:C19"/>
    <mergeCell ref="B20:C20"/>
    <mergeCell ref="B21:C21"/>
  </mergeCells>
  <dataValidations count="1">
    <dataValidation type="list" allowBlank="1" showInputMessage="1" showErrorMessage="1" sqref="C31" xr:uid="{8577350F-D828-459A-819A-F6C6A184732E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headerFooter>
    <oddFooter>&amp;C_x000D_&amp;1#&amp;"Aptos"&amp;10&amp;K000000 Confidential - Not for Public Consumption or Distribution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9EA39-89CE-43A8-897E-0406943CB61C}">
  <dimension ref="A1:N18"/>
  <sheetViews>
    <sheetView workbookViewId="0">
      <selection activeCell="I1" sqref="I1:N1048576"/>
    </sheetView>
  </sheetViews>
  <sheetFormatPr defaultRowHeight="14.5" x14ac:dyDescent="0.35"/>
  <cols>
    <col min="1" max="1" width="28.54296875" bestFit="1" customWidth="1"/>
    <col min="2" max="2" width="11.08984375" bestFit="1" customWidth="1"/>
    <col min="3" max="3" width="17.453125" bestFit="1" customWidth="1"/>
    <col min="9" max="9" width="9.1796875" bestFit="1" customWidth="1"/>
    <col min="12" max="12" width="9.1796875" bestFit="1" customWidth="1"/>
    <col min="14" max="14" width="14" bestFit="1" customWidth="1"/>
  </cols>
  <sheetData>
    <row r="1" spans="1:14" x14ac:dyDescent="0.35">
      <c r="A1" t="str">
        <f>B1&amp;"-"&amp;C1</f>
        <v>Conservador-PAPEL</v>
      </c>
      <c r="B1" t="s">
        <v>18</v>
      </c>
      <c r="C1" s="4" t="s">
        <v>23</v>
      </c>
      <c r="D1" s="6">
        <v>0.3</v>
      </c>
      <c r="L1" s="32"/>
      <c r="N1" s="36"/>
    </row>
    <row r="2" spans="1:14" x14ac:dyDescent="0.35">
      <c r="A2" t="str">
        <f t="shared" ref="A2:A18" si="0">B2&amp;"-"&amp;C2</f>
        <v>Conservador-TIJOLO</v>
      </c>
      <c r="B2" t="s">
        <v>18</v>
      </c>
      <c r="C2" s="4" t="s">
        <v>24</v>
      </c>
      <c r="D2" s="6">
        <v>0.5</v>
      </c>
    </row>
    <row r="3" spans="1:14" x14ac:dyDescent="0.35">
      <c r="A3" t="str">
        <f t="shared" si="0"/>
        <v>Conservador-HÍBRIDO</v>
      </c>
      <c r="B3" t="s">
        <v>18</v>
      </c>
      <c r="C3" s="4" t="s">
        <v>25</v>
      </c>
      <c r="D3" s="6">
        <v>0.1</v>
      </c>
    </row>
    <row r="4" spans="1:14" x14ac:dyDescent="0.35">
      <c r="A4" t="str">
        <f t="shared" si="0"/>
        <v>Conservador-FOFs</v>
      </c>
      <c r="B4" t="s">
        <v>18</v>
      </c>
      <c r="C4" s="4" t="s">
        <v>26</v>
      </c>
      <c r="D4" s="6">
        <v>0.1</v>
      </c>
      <c r="L4" s="34"/>
      <c r="N4" s="35"/>
    </row>
    <row r="5" spans="1:14" x14ac:dyDescent="0.35">
      <c r="A5" t="str">
        <f t="shared" si="0"/>
        <v>Conservador-DESENVOLVIMENTO</v>
      </c>
      <c r="B5" t="s">
        <v>18</v>
      </c>
      <c r="C5" s="4" t="s">
        <v>27</v>
      </c>
      <c r="D5" s="6">
        <v>0</v>
      </c>
    </row>
    <row r="6" spans="1:14" x14ac:dyDescent="0.35">
      <c r="A6" t="str">
        <f t="shared" si="0"/>
        <v>Conservador-HOTELARIAS</v>
      </c>
      <c r="B6" t="s">
        <v>18</v>
      </c>
      <c r="C6" s="4" t="s">
        <v>28</v>
      </c>
      <c r="D6" s="6">
        <v>0</v>
      </c>
    </row>
    <row r="7" spans="1:14" x14ac:dyDescent="0.35">
      <c r="A7" t="str">
        <f t="shared" si="0"/>
        <v>Moderado-PAPEL</v>
      </c>
      <c r="B7" t="s">
        <v>29</v>
      </c>
      <c r="C7" s="4" t="s">
        <v>23</v>
      </c>
      <c r="D7" s="6">
        <v>0.32</v>
      </c>
      <c r="I7" s="33"/>
    </row>
    <row r="8" spans="1:14" x14ac:dyDescent="0.35">
      <c r="A8" t="str">
        <f t="shared" si="0"/>
        <v>Moderado-TIJOLO</v>
      </c>
      <c r="B8" t="s">
        <v>29</v>
      </c>
      <c r="C8" s="4" t="s">
        <v>24</v>
      </c>
      <c r="D8" s="6">
        <v>0.4</v>
      </c>
      <c r="I8" s="33"/>
    </row>
    <row r="9" spans="1:14" x14ac:dyDescent="0.35">
      <c r="A9" t="str">
        <f t="shared" si="0"/>
        <v>Moderado-HÍBRIDO</v>
      </c>
      <c r="B9" t="s">
        <v>29</v>
      </c>
      <c r="C9" s="4" t="s">
        <v>25</v>
      </c>
      <c r="D9" s="6">
        <v>0.08</v>
      </c>
    </row>
    <row r="10" spans="1:14" x14ac:dyDescent="0.35">
      <c r="A10" t="str">
        <f t="shared" si="0"/>
        <v>Moderado-FOFs</v>
      </c>
      <c r="B10" t="s">
        <v>29</v>
      </c>
      <c r="C10" s="4" t="s">
        <v>26</v>
      </c>
      <c r="D10" s="6">
        <v>0.1</v>
      </c>
      <c r="I10" s="33"/>
    </row>
    <row r="11" spans="1:14" x14ac:dyDescent="0.35">
      <c r="A11" t="str">
        <f t="shared" si="0"/>
        <v>Moderado-DESENVOLVIMENTO</v>
      </c>
      <c r="B11" t="s">
        <v>29</v>
      </c>
      <c r="C11" s="4" t="s">
        <v>27</v>
      </c>
      <c r="D11" s="6">
        <v>0.1</v>
      </c>
      <c r="I11" s="34"/>
    </row>
    <row r="12" spans="1:14" x14ac:dyDescent="0.35">
      <c r="A12" t="str">
        <f t="shared" si="0"/>
        <v>Moderado-HOTELARIAS</v>
      </c>
      <c r="B12" t="s">
        <v>29</v>
      </c>
      <c r="C12" s="4" t="s">
        <v>28</v>
      </c>
      <c r="D12" s="6">
        <v>0.1</v>
      </c>
      <c r="I12" s="34"/>
    </row>
    <row r="13" spans="1:14" x14ac:dyDescent="0.35">
      <c r="A13" t="str">
        <f t="shared" si="0"/>
        <v>Agressivo-PAPEL</v>
      </c>
      <c r="B13" t="s">
        <v>30</v>
      </c>
      <c r="C13" s="4" t="s">
        <v>23</v>
      </c>
      <c r="D13" s="6">
        <v>0.5</v>
      </c>
      <c r="I13" s="34"/>
    </row>
    <row r="14" spans="1:14" x14ac:dyDescent="0.35">
      <c r="A14" t="str">
        <f t="shared" si="0"/>
        <v>Agressivo-TIJOLO</v>
      </c>
      <c r="B14" t="s">
        <v>30</v>
      </c>
      <c r="C14" s="4" t="s">
        <v>24</v>
      </c>
      <c r="D14" s="6">
        <v>0.1</v>
      </c>
    </row>
    <row r="15" spans="1:14" x14ac:dyDescent="0.35">
      <c r="A15" t="str">
        <f t="shared" si="0"/>
        <v>Agressivo-HÍBRIDO</v>
      </c>
      <c r="B15" t="s">
        <v>30</v>
      </c>
      <c r="C15" s="4" t="s">
        <v>25</v>
      </c>
      <c r="D15" s="6">
        <v>0.05</v>
      </c>
      <c r="I15" s="33"/>
    </row>
    <row r="16" spans="1:14" x14ac:dyDescent="0.35">
      <c r="A16" t="str">
        <f t="shared" si="0"/>
        <v>Agressivo-FOFs</v>
      </c>
      <c r="B16" t="s">
        <v>30</v>
      </c>
      <c r="C16" s="4" t="s">
        <v>26</v>
      </c>
      <c r="D16" s="6">
        <v>0.05</v>
      </c>
    </row>
    <row r="17" spans="1:4" x14ac:dyDescent="0.35">
      <c r="A17" t="str">
        <f t="shared" si="0"/>
        <v>Agressivo-DESENVOLVIMENTO</v>
      </c>
      <c r="B17" t="s">
        <v>30</v>
      </c>
      <c r="C17" s="4" t="s">
        <v>27</v>
      </c>
      <c r="D17" s="6">
        <v>0.2</v>
      </c>
    </row>
    <row r="18" spans="1:4" x14ac:dyDescent="0.35">
      <c r="A18" t="str">
        <f t="shared" si="0"/>
        <v>Agressivo-HOTELARIAS</v>
      </c>
      <c r="B18" t="s">
        <v>30</v>
      </c>
      <c r="C18" s="4" t="s">
        <v>28</v>
      </c>
      <c r="D18" s="6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qtde_anos</vt:lpstr>
      <vt:lpstr>rendimento_carteira</vt:lpstr>
      <vt:lpstr>salario</vt:lpstr>
      <vt:lpstr>sugestao_investimo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Martins (Omnicom)</dc:creator>
  <cp:lastModifiedBy>Fernando Martins (Omnicom)</cp:lastModifiedBy>
  <dcterms:created xsi:type="dcterms:W3CDTF">2026-09-22T21:55:23Z</dcterms:created>
  <dcterms:modified xsi:type="dcterms:W3CDTF">2026-09-26T20:48:37Z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2026-09-23T00:35:20Z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281205db-1499-4ebf-a2e5-26dc72b273da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10, 3, 0, 1</vt:lpwstr>
  </property>
</Properties>
</file>